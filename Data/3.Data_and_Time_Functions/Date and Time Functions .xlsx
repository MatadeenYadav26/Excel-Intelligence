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atadeen Yadav\Desktop\AIML\7.Excel Intelligence\2.Data Preparation\3.Class_4_Date_and_time_Function\"/>
    </mc:Choice>
  </mc:AlternateContent>
  <xr:revisionPtr revIDLastSave="0" documentId="13_ncr:1_{C05F2FCB-3BD4-44EF-9F15-1E5CF8F95E4C}" xr6:coauthVersionLast="47" xr6:coauthVersionMax="47" xr10:uidLastSave="{00000000-0000-0000-0000-000000000000}"/>
  <bookViews>
    <workbookView xWindow="-108" yWindow="-108" windowWidth="23256" windowHeight="12456" xr2:uid="{83374882-0478-4D90-A783-7BD1D4D12D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" l="1"/>
  <c r="S4" i="1"/>
  <c r="S5" i="1"/>
  <c r="S6" i="1"/>
  <c r="S2" i="1"/>
  <c r="R3" i="1"/>
  <c r="R4" i="1"/>
  <c r="R5" i="1"/>
  <c r="R6" i="1"/>
  <c r="R2" i="1"/>
  <c r="Q3" i="1"/>
  <c r="Q4" i="1"/>
  <c r="Q5" i="1"/>
  <c r="Q6" i="1"/>
  <c r="Q2" i="1"/>
  <c r="P2" i="1"/>
  <c r="P3" i="1"/>
  <c r="P4" i="1"/>
  <c r="P5" i="1"/>
  <c r="P6" i="1"/>
  <c r="O3" i="1"/>
  <c r="O4" i="1"/>
  <c r="O5" i="1"/>
  <c r="O6" i="1"/>
  <c r="O2" i="1"/>
  <c r="L6" i="1"/>
  <c r="K3" i="1"/>
  <c r="L2" i="1" s="1"/>
  <c r="K4" i="1"/>
  <c r="L3" i="1" s="1"/>
  <c r="K5" i="1"/>
  <c r="L4" i="1" s="1"/>
  <c r="K6" i="1"/>
  <c r="L5" i="1" s="1"/>
  <c r="K2" i="1"/>
  <c r="M2" i="1" s="1"/>
  <c r="J3" i="1"/>
  <c r="J4" i="1"/>
  <c r="J5" i="1"/>
  <c r="J6" i="1"/>
  <c r="J2" i="1"/>
  <c r="I3" i="1"/>
  <c r="I4" i="1"/>
  <c r="I5" i="1"/>
  <c r="I6" i="1"/>
  <c r="I2" i="1"/>
  <c r="H3" i="1"/>
  <c r="H4" i="1"/>
  <c r="H5" i="1"/>
  <c r="H6" i="1"/>
  <c r="H2" i="1"/>
  <c r="G3" i="1"/>
  <c r="G4" i="1"/>
  <c r="G5" i="1"/>
  <c r="G6" i="1"/>
  <c r="G2" i="1"/>
  <c r="F3" i="1"/>
  <c r="F4" i="1"/>
  <c r="F5" i="1"/>
  <c r="F6" i="1"/>
  <c r="F2" i="1"/>
  <c r="N6" i="1" l="1"/>
  <c r="N5" i="1"/>
  <c r="N4" i="1"/>
  <c r="N3" i="1"/>
  <c r="N2" i="1"/>
  <c r="M6" i="1"/>
  <c r="M5" i="1"/>
  <c r="M4" i="1"/>
  <c r="M3" i="1"/>
</calcChain>
</file>

<file path=xl/sharedStrings.xml><?xml version="1.0" encoding="utf-8"?>
<sst xmlns="http://schemas.openxmlformats.org/spreadsheetml/2006/main" count="25" uniqueCount="25">
  <si>
    <t>ID</t>
  </si>
  <si>
    <t>Name</t>
  </si>
  <si>
    <t>Join Date</t>
  </si>
  <si>
    <t>End Date</t>
  </si>
  <si>
    <t>DOB</t>
  </si>
  <si>
    <t>Aditi</t>
  </si>
  <si>
    <t>Raj</t>
  </si>
  <si>
    <t>Meena</t>
  </si>
  <si>
    <t>Karan</t>
  </si>
  <si>
    <t>Sonia</t>
  </si>
  <si>
    <t>DAY</t>
  </si>
  <si>
    <t>MONTH</t>
  </si>
  <si>
    <t>YEAR</t>
  </si>
  <si>
    <t>WEEK NUM</t>
  </si>
  <si>
    <t>Today</t>
  </si>
  <si>
    <t>Now</t>
  </si>
  <si>
    <t>Second</t>
  </si>
  <si>
    <t>HOUR</t>
  </si>
  <si>
    <t>MINUTE</t>
  </si>
  <si>
    <t>DATEDIF(Y)</t>
  </si>
  <si>
    <t>DATEDIF(M)</t>
  </si>
  <si>
    <t>DATEDIF(D)</t>
  </si>
  <si>
    <t>NET WORKING DAYS</t>
  </si>
  <si>
    <t>EOMONTH</t>
  </si>
  <si>
    <t>for more functions you can check out at microsoft excel functions.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</si>
</sst>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6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5" fontId="0" fillId="0" borderId="0" xfId="0" applyNumberFormat="1" applyAlignment="1">
      <alignment vertical="center" wrapText="1"/>
    </xf>
    <xf numFmtId="1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6E3EA-7351-4141-8EB0-580957AAF064}">
  <dimension ref="A1:S9"/>
  <sheetViews>
    <sheetView tabSelected="1" zoomScale="64" workbookViewId="0">
      <selection activeCell="C10" sqref="C10"/>
    </sheetView>
  </sheetViews>
  <sheetFormatPr defaultRowHeight="21" x14ac:dyDescent="0.4"/>
  <cols>
    <col min="6" max="6" width="9.140625" customWidth="1"/>
    <col min="7" max="7" width="10.78515625" customWidth="1"/>
    <col min="8" max="8" width="9.140625" customWidth="1"/>
    <col min="9" max="9" width="11.42578125" customWidth="1"/>
    <col min="10" max="10" width="9.92578125" bestFit="1" customWidth="1"/>
    <col min="11" max="11" width="14.85546875" bestFit="1" customWidth="1"/>
    <col min="12" max="12" width="11.35546875" customWidth="1"/>
    <col min="15" max="15" width="12.7109375" customWidth="1"/>
    <col min="16" max="16" width="12.5" customWidth="1"/>
    <col min="17" max="17" width="12.0703125" customWidth="1"/>
    <col min="18" max="18" width="12.5" customWidth="1"/>
    <col min="19" max="19" width="9.92578125" bestFit="1" customWidth="1"/>
  </cols>
  <sheetData>
    <row r="1" spans="1:19" ht="42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</row>
    <row r="2" spans="1:19" x14ac:dyDescent="0.4">
      <c r="A2" s="2">
        <v>101</v>
      </c>
      <c r="B2" s="2" t="s">
        <v>5</v>
      </c>
      <c r="C2" s="3">
        <v>44562</v>
      </c>
      <c r="D2" s="3">
        <v>45657</v>
      </c>
      <c r="E2" s="3">
        <v>36022</v>
      </c>
      <c r="F2">
        <f>DAY(C2)</f>
        <v>1</v>
      </c>
      <c r="G2">
        <f>MONTH(C2)</f>
        <v>1</v>
      </c>
      <c r="H2">
        <f>YEAR(C2)</f>
        <v>2022</v>
      </c>
      <c r="I2">
        <f>WEEKNUM(C2,2)</f>
        <v>1</v>
      </c>
      <c r="J2" s="4">
        <f ca="1">TODAY()</f>
        <v>46124</v>
      </c>
      <c r="K2" s="5">
        <f ca="1">NOW()</f>
        <v>46124.395596759263</v>
      </c>
      <c r="L2">
        <f ca="1">SECOND(K3)</f>
        <v>40</v>
      </c>
      <c r="M2">
        <f ca="1">HOUR(K2)</f>
        <v>9</v>
      </c>
      <c r="N2">
        <f ca="1">MINUTE(K2)</f>
        <v>29</v>
      </c>
      <c r="O2">
        <f ca="1">DATEDIF(C2,TODAY(),"Y")</f>
        <v>4</v>
      </c>
      <c r="P2">
        <f ca="1">DATEDIF(C2,TODAY(),"M")</f>
        <v>51</v>
      </c>
      <c r="Q2">
        <f ca="1">DATEDIF(C2,TODAY(),"D")</f>
        <v>1562</v>
      </c>
      <c r="R2">
        <f>NETWORKDAYS(C2,D2)</f>
        <v>782</v>
      </c>
      <c r="S2" s="4">
        <f>EOMONTH(C2,0)</f>
        <v>44592</v>
      </c>
    </row>
    <row r="3" spans="1:19" x14ac:dyDescent="0.4">
      <c r="A3" s="2">
        <v>102</v>
      </c>
      <c r="B3" s="2" t="s">
        <v>6</v>
      </c>
      <c r="C3" s="3">
        <v>44270</v>
      </c>
      <c r="D3" s="3">
        <v>45731</v>
      </c>
      <c r="E3" s="3">
        <v>33166</v>
      </c>
      <c r="F3">
        <f t="shared" ref="F3:F6" si="0">DAY(C3)</f>
        <v>15</v>
      </c>
      <c r="G3">
        <f t="shared" ref="G3:G6" si="1">MONTH(C3)</f>
        <v>3</v>
      </c>
      <c r="H3">
        <f t="shared" ref="H3:H6" si="2">YEAR(C3)</f>
        <v>2021</v>
      </c>
      <c r="I3">
        <f t="shared" ref="I3:I6" si="3">WEEKNUM(C3,2)</f>
        <v>12</v>
      </c>
      <c r="J3" s="4">
        <f t="shared" ref="J3:J6" ca="1" si="4">TODAY()</f>
        <v>46124</v>
      </c>
      <c r="K3" s="5">
        <f t="shared" ref="K3:K6" ca="1" si="5">NOW()</f>
        <v>46124.395596759263</v>
      </c>
      <c r="L3">
        <f t="shared" ref="L3:L6" ca="1" si="6">SECOND(K4)</f>
        <v>40</v>
      </c>
      <c r="M3">
        <f t="shared" ref="M3:M6" ca="1" si="7">HOUR(K3)</f>
        <v>9</v>
      </c>
      <c r="N3">
        <f t="shared" ref="N3:N6" ca="1" si="8">MINUTE(K3)</f>
        <v>29</v>
      </c>
      <c r="O3">
        <f t="shared" ref="O3:O6" ca="1" si="9">DATEDIF(C3,TODAY(),"Y")</f>
        <v>5</v>
      </c>
      <c r="P3">
        <f t="shared" ref="P3:P6" ca="1" si="10">DATEDIF(C3,TODAY(),"M")</f>
        <v>60</v>
      </c>
      <c r="Q3">
        <f t="shared" ref="Q3:Q6" ca="1" si="11">DATEDIF(C3,TODAY(),"D")</f>
        <v>1854</v>
      </c>
      <c r="R3">
        <f t="shared" ref="R3:R6" si="12">NETWORKDAYS(C3,D3)</f>
        <v>1045</v>
      </c>
      <c r="S3" s="4">
        <f t="shared" ref="S3:S6" si="13">EOMONTH(C3,0)</f>
        <v>44286</v>
      </c>
    </row>
    <row r="4" spans="1:19" x14ac:dyDescent="0.4">
      <c r="A4" s="2">
        <v>103</v>
      </c>
      <c r="B4" s="2" t="s">
        <v>7</v>
      </c>
      <c r="C4" s="3">
        <v>44022</v>
      </c>
      <c r="D4" s="3">
        <v>45116</v>
      </c>
      <c r="E4" s="3">
        <v>34704</v>
      </c>
      <c r="F4">
        <f t="shared" si="0"/>
        <v>10</v>
      </c>
      <c r="G4">
        <f t="shared" si="1"/>
        <v>7</v>
      </c>
      <c r="H4">
        <f t="shared" si="2"/>
        <v>2020</v>
      </c>
      <c r="I4">
        <f t="shared" si="3"/>
        <v>28</v>
      </c>
      <c r="J4" s="4">
        <f t="shared" ca="1" si="4"/>
        <v>46124</v>
      </c>
      <c r="K4" s="5">
        <f t="shared" ca="1" si="5"/>
        <v>46124.395596759263</v>
      </c>
      <c r="L4">
        <f t="shared" ca="1" si="6"/>
        <v>40</v>
      </c>
      <c r="M4">
        <f t="shared" ca="1" si="7"/>
        <v>9</v>
      </c>
      <c r="N4">
        <f t="shared" ca="1" si="8"/>
        <v>29</v>
      </c>
      <c r="O4">
        <f t="shared" ca="1" si="9"/>
        <v>5</v>
      </c>
      <c r="P4">
        <f t="shared" ca="1" si="10"/>
        <v>69</v>
      </c>
      <c r="Q4">
        <f t="shared" ca="1" si="11"/>
        <v>2102</v>
      </c>
      <c r="R4">
        <f t="shared" si="12"/>
        <v>781</v>
      </c>
      <c r="S4" s="4">
        <f t="shared" si="13"/>
        <v>44043</v>
      </c>
    </row>
    <row r="5" spans="1:19" x14ac:dyDescent="0.4">
      <c r="A5" s="2">
        <v>104</v>
      </c>
      <c r="B5" s="2" t="s">
        <v>8</v>
      </c>
      <c r="C5" s="3">
        <v>44958</v>
      </c>
      <c r="D5" s="3">
        <v>46053</v>
      </c>
      <c r="E5" s="3">
        <v>32478</v>
      </c>
      <c r="F5">
        <f t="shared" si="0"/>
        <v>1</v>
      </c>
      <c r="G5">
        <f t="shared" si="1"/>
        <v>2</v>
      </c>
      <c r="H5">
        <f t="shared" si="2"/>
        <v>2023</v>
      </c>
      <c r="I5">
        <f t="shared" si="3"/>
        <v>6</v>
      </c>
      <c r="J5" s="4">
        <f t="shared" ca="1" si="4"/>
        <v>46124</v>
      </c>
      <c r="K5" s="5">
        <f t="shared" ca="1" si="5"/>
        <v>46124.395596759263</v>
      </c>
      <c r="L5">
        <f t="shared" ca="1" si="6"/>
        <v>40</v>
      </c>
      <c r="M5">
        <f t="shared" ca="1" si="7"/>
        <v>9</v>
      </c>
      <c r="N5">
        <f t="shared" ca="1" si="8"/>
        <v>29</v>
      </c>
      <c r="O5">
        <f t="shared" ca="1" si="9"/>
        <v>3</v>
      </c>
      <c r="P5">
        <f t="shared" ca="1" si="10"/>
        <v>38</v>
      </c>
      <c r="Q5">
        <f t="shared" ca="1" si="11"/>
        <v>1166</v>
      </c>
      <c r="R5">
        <f t="shared" si="12"/>
        <v>783</v>
      </c>
      <c r="S5" s="4">
        <f t="shared" si="13"/>
        <v>44985</v>
      </c>
    </row>
    <row r="6" spans="1:19" x14ac:dyDescent="0.4">
      <c r="A6" s="2">
        <v>105</v>
      </c>
      <c r="B6" s="2" t="s">
        <v>9</v>
      </c>
      <c r="C6" s="3">
        <v>44920</v>
      </c>
      <c r="D6" s="3">
        <v>45651</v>
      </c>
      <c r="E6" s="3">
        <v>33734</v>
      </c>
      <c r="F6">
        <f t="shared" si="0"/>
        <v>25</v>
      </c>
      <c r="G6">
        <f t="shared" si="1"/>
        <v>12</v>
      </c>
      <c r="H6">
        <f t="shared" si="2"/>
        <v>2022</v>
      </c>
      <c r="I6">
        <f t="shared" si="3"/>
        <v>52</v>
      </c>
      <c r="J6" s="4">
        <f t="shared" ca="1" si="4"/>
        <v>46124</v>
      </c>
      <c r="K6" s="5">
        <f t="shared" ca="1" si="5"/>
        <v>46124.395596759263</v>
      </c>
      <c r="L6">
        <f t="shared" si="6"/>
        <v>0</v>
      </c>
      <c r="M6">
        <f t="shared" ca="1" si="7"/>
        <v>9</v>
      </c>
      <c r="N6">
        <f t="shared" ca="1" si="8"/>
        <v>29</v>
      </c>
      <c r="O6">
        <f t="shared" ca="1" si="9"/>
        <v>3</v>
      </c>
      <c r="P6">
        <f t="shared" ca="1" si="10"/>
        <v>39</v>
      </c>
      <c r="Q6">
        <f t="shared" ca="1" si="11"/>
        <v>1204</v>
      </c>
      <c r="R6">
        <f t="shared" si="12"/>
        <v>523</v>
      </c>
      <c r="S6" s="4">
        <f t="shared" si="13"/>
        <v>44926</v>
      </c>
    </row>
    <row r="9" spans="1:19" x14ac:dyDescent="0.4">
      <c r="C9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Dhanesh Malviya</dc:creator>
  <cp:lastModifiedBy>Matadeen Yadav</cp:lastModifiedBy>
  <dcterms:created xsi:type="dcterms:W3CDTF">2025-09-28T13:58:33Z</dcterms:created>
  <dcterms:modified xsi:type="dcterms:W3CDTF">2026-04-12T03:59:54Z</dcterms:modified>
</cp:coreProperties>
</file>
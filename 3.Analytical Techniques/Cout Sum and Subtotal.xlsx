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3.Analytical Techniques\4.Cout sum and subtotal\"/>
    </mc:Choice>
  </mc:AlternateContent>
  <xr:revisionPtr revIDLastSave="0" documentId="13_ncr:1_{5E026A75-68F1-4AF0-AD19-451740F93BA2}" xr6:coauthVersionLast="47" xr6:coauthVersionMax="47" xr10:uidLastSave="{00000000-0000-0000-0000-000000000000}"/>
  <bookViews>
    <workbookView xWindow="-108" yWindow="-108" windowWidth="23256" windowHeight="12456" xr2:uid="{E39B28A0-9412-4544-BE2B-7A0C17A1740F}"/>
  </bookViews>
  <sheets>
    <sheet name="Sheet1" sheetId="1" r:id="rId1"/>
  </sheets>
  <definedNames>
    <definedName name="_xlnm._FilterDatabase" localSheetId="0" hidden="1">Sheet1!$A$1:$G$14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I14" i="1"/>
  <c r="I13" i="1"/>
  <c r="I12" i="1"/>
  <c r="I9" i="1"/>
  <c r="I8" i="1"/>
  <c r="I5" i="1"/>
  <c r="I4" i="1"/>
  <c r="I3" i="1"/>
</calcChain>
</file>

<file path=xl/sharedStrings.xml><?xml version="1.0" encoding="utf-8"?>
<sst xmlns="http://schemas.openxmlformats.org/spreadsheetml/2006/main" count="57" uniqueCount="33">
  <si>
    <t>OrderID</t>
  </si>
  <si>
    <t>Product</t>
  </si>
  <si>
    <t>Region</t>
  </si>
  <si>
    <t>Sales</t>
  </si>
  <si>
    <t>Quantity</t>
  </si>
  <si>
    <t>SalesRep</t>
  </si>
  <si>
    <t>Laptop</t>
  </si>
  <si>
    <t>North</t>
  </si>
  <si>
    <t>Raj</t>
  </si>
  <si>
    <t>Mouse</t>
  </si>
  <si>
    <t>East</t>
  </si>
  <si>
    <t>Meena</t>
  </si>
  <si>
    <t>Keyboard</t>
  </si>
  <si>
    <t>South</t>
  </si>
  <si>
    <t>Aditi</t>
  </si>
  <si>
    <t>Monitor</t>
  </si>
  <si>
    <t>West</t>
  </si>
  <si>
    <t>Karan</t>
  </si>
  <si>
    <t>count</t>
  </si>
  <si>
    <t>counta</t>
  </si>
  <si>
    <t>count blank</t>
  </si>
  <si>
    <t>counts only numeric value</t>
  </si>
  <si>
    <t>counts all types of values</t>
  </si>
  <si>
    <t>Status</t>
  </si>
  <si>
    <t>Delivered</t>
  </si>
  <si>
    <t>Pending</t>
  </si>
  <si>
    <t>Cancelled</t>
  </si>
  <si>
    <t>count if</t>
  </si>
  <si>
    <t>count ifs</t>
  </si>
  <si>
    <t>sum</t>
  </si>
  <si>
    <t>sumif</t>
  </si>
  <si>
    <t>sumifs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</si>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</sst>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335B-C91B-45B4-9F51-049F60B7F2E6}">
  <dimension ref="A1:J15"/>
  <sheetViews>
    <sheetView tabSelected="1" workbookViewId="0">
      <selection activeCell="H8" sqref="H8"/>
    </sheetView>
  </sheetViews>
  <sheetFormatPr defaultRowHeight="21" x14ac:dyDescent="0.4"/>
  <cols>
    <col min="8" max="8" width="9.9257812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</row>
    <row r="2" spans="1:10" x14ac:dyDescent="0.4">
      <c r="A2" s="2">
        <v>1001</v>
      </c>
      <c r="B2" s="2" t="s">
        <v>6</v>
      </c>
      <c r="C2" s="2" t="s">
        <v>7</v>
      </c>
      <c r="D2" s="3">
        <v>55000</v>
      </c>
      <c r="E2" s="2">
        <v>5</v>
      </c>
      <c r="F2" s="2" t="s">
        <v>8</v>
      </c>
      <c r="G2" s="2" t="s">
        <v>24</v>
      </c>
    </row>
    <row r="3" spans="1:10" x14ac:dyDescent="0.4">
      <c r="A3" s="2">
        <v>1002</v>
      </c>
      <c r="B3" s="2" t="s">
        <v>9</v>
      </c>
      <c r="C3" s="2" t="s">
        <v>10</v>
      </c>
      <c r="D3" s="3">
        <v>3000</v>
      </c>
      <c r="E3" s="2">
        <v>15</v>
      </c>
      <c r="F3" s="2" t="s">
        <v>11</v>
      </c>
      <c r="G3" s="2" t="s">
        <v>25</v>
      </c>
      <c r="H3" t="s">
        <v>18</v>
      </c>
      <c r="I3">
        <f>COUNT(D2:D11)</f>
        <v>9</v>
      </c>
      <c r="J3" t="s">
        <v>21</v>
      </c>
    </row>
    <row r="4" spans="1:10" x14ac:dyDescent="0.4">
      <c r="A4" s="2">
        <v>1003</v>
      </c>
      <c r="B4" s="2" t="s">
        <v>12</v>
      </c>
      <c r="C4" s="2" t="s">
        <v>7</v>
      </c>
      <c r="D4" s="3">
        <v>15000</v>
      </c>
      <c r="E4" s="2">
        <v>10</v>
      </c>
      <c r="F4" s="2" t="s">
        <v>8</v>
      </c>
      <c r="G4" s="2" t="s">
        <v>24</v>
      </c>
      <c r="H4" t="s">
        <v>19</v>
      </c>
      <c r="I4">
        <f>COUNTA(F2:F11)</f>
        <v>9</v>
      </c>
      <c r="J4" t="s">
        <v>22</v>
      </c>
    </row>
    <row r="5" spans="1:10" x14ac:dyDescent="0.4">
      <c r="A5" s="2">
        <v>1004</v>
      </c>
      <c r="B5" s="2" t="s">
        <v>6</v>
      </c>
      <c r="C5" s="2" t="s">
        <v>13</v>
      </c>
      <c r="D5" s="3">
        <v>60000</v>
      </c>
      <c r="E5" s="2">
        <v>6</v>
      </c>
      <c r="F5" s="2" t="s">
        <v>14</v>
      </c>
      <c r="G5" s="2" t="s">
        <v>26</v>
      </c>
      <c r="H5" t="s">
        <v>20</v>
      </c>
      <c r="I5">
        <f>COUNTBLANK(D2:D11)</f>
        <v>1</v>
      </c>
    </row>
    <row r="6" spans="1:10" x14ac:dyDescent="0.4">
      <c r="A6" s="2">
        <v>1005</v>
      </c>
      <c r="B6" s="2" t="s">
        <v>15</v>
      </c>
      <c r="C6" s="2" t="s">
        <v>10</v>
      </c>
      <c r="D6" s="3">
        <v>25000</v>
      </c>
      <c r="E6" s="2"/>
      <c r="F6" s="2" t="s">
        <v>11</v>
      </c>
      <c r="G6" s="2" t="s">
        <v>24</v>
      </c>
    </row>
    <row r="7" spans="1:10" x14ac:dyDescent="0.4">
      <c r="A7" s="2">
        <v>1006</v>
      </c>
      <c r="B7" s="2" t="s">
        <v>6</v>
      </c>
      <c r="C7" s="2" t="s">
        <v>16</v>
      </c>
      <c r="D7" s="3">
        <v>58000</v>
      </c>
      <c r="E7" s="2">
        <v>5</v>
      </c>
      <c r="F7" s="2" t="s">
        <v>17</v>
      </c>
      <c r="G7" s="2" t="s">
        <v>24</v>
      </c>
    </row>
    <row r="8" spans="1:10" x14ac:dyDescent="0.4">
      <c r="A8" s="2">
        <v>1007</v>
      </c>
      <c r="B8" s="2" t="s">
        <v>9</v>
      </c>
      <c r="C8" s="2" t="s">
        <v>7</v>
      </c>
      <c r="D8" s="3">
        <v>2800</v>
      </c>
      <c r="E8" s="2">
        <v>12</v>
      </c>
      <c r="F8" s="2" t="s">
        <v>8</v>
      </c>
      <c r="G8" s="2" t="s">
        <v>25</v>
      </c>
      <c r="H8" s="2" t="s">
        <v>27</v>
      </c>
      <c r="I8">
        <f>COUNTIF(G2:G11,"Delivered")</f>
        <v>5</v>
      </c>
    </row>
    <row r="9" spans="1:10" x14ac:dyDescent="0.4">
      <c r="A9" s="2">
        <v>1008</v>
      </c>
      <c r="B9" s="2" t="s">
        <v>15</v>
      </c>
      <c r="C9" s="2" t="s">
        <v>13</v>
      </c>
      <c r="D9" s="3"/>
      <c r="E9" s="2">
        <v>5</v>
      </c>
      <c r="F9" s="2" t="s">
        <v>14</v>
      </c>
      <c r="G9" s="2" t="s">
        <v>24</v>
      </c>
      <c r="H9" s="2" t="s">
        <v>28</v>
      </c>
      <c r="I9">
        <f>COUNTIFS(B2:B11,"Laptop",G2:G11,"Delivered",C2:C11,"North")</f>
        <v>1</v>
      </c>
    </row>
    <row r="10" spans="1:10" x14ac:dyDescent="0.4">
      <c r="A10" s="2">
        <v>1009</v>
      </c>
      <c r="B10" s="2" t="s">
        <v>6</v>
      </c>
      <c r="C10" s="2" t="s">
        <v>10</v>
      </c>
      <c r="D10" s="3">
        <v>57000</v>
      </c>
      <c r="E10" s="2">
        <v>4</v>
      </c>
      <c r="F10" s="2" t="s">
        <v>17</v>
      </c>
      <c r="G10" s="2" t="s">
        <v>25</v>
      </c>
    </row>
    <row r="11" spans="1:10" x14ac:dyDescent="0.4">
      <c r="A11" s="2">
        <v>1010</v>
      </c>
      <c r="B11" s="2" t="s">
        <v>9</v>
      </c>
      <c r="C11" s="2" t="s">
        <v>16</v>
      </c>
      <c r="D11" s="3">
        <v>3200</v>
      </c>
      <c r="E11" s="2">
        <v>14</v>
      </c>
      <c r="F11" s="2"/>
      <c r="G11" s="2" t="s">
        <v>26</v>
      </c>
    </row>
    <row r="12" spans="1:10" x14ac:dyDescent="0.4">
      <c r="H12" t="s">
        <v>29</v>
      </c>
      <c r="I12" s="4">
        <f>SUM(D2:D11)</f>
        <v>279000</v>
      </c>
    </row>
    <row r="13" spans="1:10" x14ac:dyDescent="0.4">
      <c r="H13" t="s">
        <v>30</v>
      </c>
      <c r="I13">
        <f>SUMIF(B2:B11,"Laptop",D2:D11)</f>
        <v>230000</v>
      </c>
    </row>
    <row r="14" spans="1:10" x14ac:dyDescent="0.4">
      <c r="H14" t="s">
        <v>31</v>
      </c>
      <c r="I14">
        <f>SUMIFS(D2:D11,G2:G11,"Delivered",E2:E11,"&gt;5")</f>
        <v>15000</v>
      </c>
    </row>
    <row r="15" spans="1:10" x14ac:dyDescent="0.4">
      <c r="D15" t="s">
        <v>32</v>
      </c>
      <c r="E15">
        <f>SUBTOTAL(9,D2:D11)</f>
        <v>279000</v>
      </c>
    </row>
  </sheetData>
  <autoFilter ref="A1:G14" xr:uid="{4646335B-C91B-45B4-9F51-049F60B7F2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2025-09-29T08:39:57Z</dcterms:created>
  <dcterms:modified xsi:type="dcterms:W3CDTF">2026-06-03T03:31:59Z</dcterms:modified>
</cp:coreProperties>
</file>